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millah\Curah Hujan\"/>
    </mc:Choice>
  </mc:AlternateContent>
  <xr:revisionPtr revIDLastSave="0" documentId="13_ncr:1_{E6CB24B0-B375-4C8B-976E-329F6110F6A5}" xr6:coauthVersionLast="47" xr6:coauthVersionMax="47" xr10:uidLastSave="{00000000-0000-0000-0000-000000000000}"/>
  <bookViews>
    <workbookView xWindow="-110" yWindow="-110" windowWidth="19420" windowHeight="11500" xr2:uid="{C8425946-5F3B-479F-B83D-A76E6F1A588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2" i="1"/>
  <c r="B31" i="1" s="1"/>
  <c r="H3" i="1"/>
  <c r="H4" i="1"/>
  <c r="H5" i="1"/>
  <c r="H6" i="1"/>
  <c r="H7" i="1"/>
  <c r="H8" i="1"/>
  <c r="H27" i="1" s="1"/>
  <c r="D30" i="1"/>
  <c r="E30" i="1"/>
  <c r="F28" i="1"/>
  <c r="G28" i="1"/>
  <c r="C28" i="1"/>
  <c r="D28" i="1"/>
  <c r="E28" i="1"/>
  <c r="C29" i="1"/>
  <c r="D29" i="1"/>
  <c r="E29" i="1"/>
  <c r="F29" i="1"/>
  <c r="G29" i="1"/>
  <c r="H29" i="1"/>
  <c r="C30" i="1"/>
  <c r="C31" i="1"/>
  <c r="D31" i="1"/>
  <c r="E31" i="1"/>
  <c r="F31" i="1"/>
  <c r="G31" i="1"/>
  <c r="H31" i="1"/>
  <c r="E27" i="1"/>
  <c r="D27" i="1"/>
  <c r="C27" i="1"/>
  <c r="D24" i="1"/>
  <c r="D23" i="1"/>
  <c r="B20" i="1"/>
  <c r="B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D2" i="1"/>
  <c r="B30" i="1" l="1"/>
  <c r="B28" i="1"/>
  <c r="B27" i="1"/>
  <c r="B29" i="1"/>
  <c r="H30" i="1"/>
  <c r="G30" i="1"/>
  <c r="F27" i="1"/>
  <c r="F30" i="1"/>
  <c r="H28" i="1"/>
  <c r="G27" i="1"/>
  <c r="I30" i="1"/>
  <c r="I27" i="1"/>
  <c r="I28" i="1"/>
  <c r="I31" i="1"/>
  <c r="I29" i="1"/>
</calcChain>
</file>

<file path=xl/sharedStrings.xml><?xml version="1.0" encoding="utf-8"?>
<sst xmlns="http://schemas.openxmlformats.org/spreadsheetml/2006/main" count="20" uniqueCount="20">
  <si>
    <t>Tahun</t>
  </si>
  <si>
    <t>Hujan Maksimum Harian (mm)</t>
  </si>
  <si>
    <t>Peringkat</t>
  </si>
  <si>
    <t>Probabilitas</t>
  </si>
  <si>
    <t>Return Period</t>
  </si>
  <si>
    <t>Rata-rata:</t>
  </si>
  <si>
    <t xml:space="preserve">Standar Deviasi:  </t>
  </si>
  <si>
    <t>Alpha(skala):</t>
  </si>
  <si>
    <t>Lokasi:</t>
  </si>
  <si>
    <t>Return Period(T)</t>
  </si>
  <si>
    <t>Hujan Desain</t>
  </si>
  <si>
    <t>Durasi</t>
  </si>
  <si>
    <t>2 tahun</t>
  </si>
  <si>
    <t>5 tahun</t>
  </si>
  <si>
    <t>10 tahun</t>
  </si>
  <si>
    <t>15 tahun</t>
  </si>
  <si>
    <t>20 tahun</t>
  </si>
  <si>
    <t>25 tahun</t>
  </si>
  <si>
    <t>50 tahun</t>
  </si>
  <si>
    <t>100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</si>
</sst>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6765-4C93-417F-8BB6-5EF4B30E7B44}">
  <dimension ref="A1:I31"/>
  <sheetViews>
    <sheetView tabSelected="1" topLeftCell="A11" workbookViewId="0">
      <selection activeCell="G14" sqref="G14"/>
    </sheetView>
  </sheetViews>
  <sheetFormatPr defaultRowHeight="14.5" x14ac:dyDescent="0.35"/>
  <cols>
    <col min="1" max="1" width="14.81640625" customWidth="1"/>
    <col min="2" max="2" width="27.36328125" customWidth="1"/>
    <col min="3" max="3" width="12.26953125" customWidth="1"/>
    <col min="4" max="4" width="14.26953125" customWidth="1"/>
    <col min="5" max="5" width="16" customWidth="1"/>
    <col min="6" max="6" width="14.36328125" customWidth="1"/>
    <col min="7" max="7" width="17.453125" customWidth="1"/>
    <col min="8" max="8" width="15.1796875" customWidth="1"/>
    <col min="9" max="9" width="13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  <c r="H1" s="1" t="s">
        <v>10</v>
      </c>
    </row>
    <row r="2" spans="1:8" x14ac:dyDescent="0.35">
      <c r="A2">
        <v>2010</v>
      </c>
      <c r="B2">
        <v>218.8</v>
      </c>
      <c r="C2">
        <v>1</v>
      </c>
      <c r="D2">
        <f>C2/(COUNT($B$2:$B$16)+1)</f>
        <v>6.25E-2</v>
      </c>
      <c r="E2">
        <f>1/D2</f>
        <v>16</v>
      </c>
      <c r="G2">
        <v>2</v>
      </c>
      <c r="H2">
        <f>$D$24 - $D$23 * LN(-LN(1 - (1/G2)))</f>
        <v>144.08932479830443</v>
      </c>
    </row>
    <row r="3" spans="1:8" x14ac:dyDescent="0.35">
      <c r="A3">
        <v>2011</v>
      </c>
      <c r="B3">
        <v>200</v>
      </c>
      <c r="C3">
        <v>2</v>
      </c>
      <c r="D3">
        <f>C3/(COUNT($B$2:$B$16)+1)</f>
        <v>0.125</v>
      </c>
      <c r="E3">
        <f>1/D3</f>
        <v>8</v>
      </c>
      <c r="G3">
        <v>5</v>
      </c>
      <c r="H3">
        <f t="shared" ref="H3:H9" si="0">$D$24 - $D$23 * LN(-LN(1 - 1/G3))</f>
        <v>171.83412471328808</v>
      </c>
    </row>
    <row r="4" spans="1:8" x14ac:dyDescent="0.35">
      <c r="A4">
        <v>2012</v>
      </c>
      <c r="B4">
        <v>180</v>
      </c>
      <c r="C4">
        <v>3</v>
      </c>
      <c r="D4">
        <f t="shared" ref="D4:D16" si="1">C4/(COUNT($B$2:$B$16)+1)</f>
        <v>0.1875</v>
      </c>
      <c r="E4">
        <f t="shared" ref="E4:E16" si="2">1/D4</f>
        <v>5.333333333333333</v>
      </c>
      <c r="G4">
        <v>10</v>
      </c>
      <c r="H4">
        <f t="shared" si="0"/>
        <v>190.20359641170549</v>
      </c>
    </row>
    <row r="5" spans="1:8" x14ac:dyDescent="0.35">
      <c r="A5">
        <v>2013</v>
      </c>
      <c r="B5">
        <v>160.30000000000001</v>
      </c>
      <c r="C5">
        <v>4</v>
      </c>
      <c r="D5">
        <f t="shared" si="1"/>
        <v>0.25</v>
      </c>
      <c r="E5">
        <f t="shared" si="2"/>
        <v>4</v>
      </c>
      <c r="G5">
        <v>15</v>
      </c>
      <c r="H5">
        <f t="shared" si="0"/>
        <v>200.56749711613585</v>
      </c>
    </row>
    <row r="6" spans="1:8" x14ac:dyDescent="0.35">
      <c r="A6">
        <v>2014</v>
      </c>
      <c r="B6">
        <v>160.30000000000001</v>
      </c>
      <c r="C6">
        <v>5</v>
      </c>
      <c r="D6">
        <f t="shared" si="1"/>
        <v>0.3125</v>
      </c>
      <c r="E6">
        <f t="shared" si="2"/>
        <v>3.2</v>
      </c>
      <c r="G6">
        <v>20</v>
      </c>
      <c r="H6">
        <f t="shared" si="0"/>
        <v>207.82403468918326</v>
      </c>
    </row>
    <row r="7" spans="1:8" x14ac:dyDescent="0.35">
      <c r="A7">
        <v>2015</v>
      </c>
      <c r="B7">
        <v>155.30000000000001</v>
      </c>
      <c r="C7">
        <v>6</v>
      </c>
      <c r="D7">
        <f t="shared" si="1"/>
        <v>0.375</v>
      </c>
      <c r="E7">
        <f t="shared" si="2"/>
        <v>2.6666666666666665</v>
      </c>
      <c r="G7">
        <v>25</v>
      </c>
      <c r="H7">
        <f t="shared" si="0"/>
        <v>213.41347259918132</v>
      </c>
    </row>
    <row r="8" spans="1:8" x14ac:dyDescent="0.35">
      <c r="A8">
        <v>2016</v>
      </c>
      <c r="B8">
        <v>152.1</v>
      </c>
      <c r="C8">
        <v>7</v>
      </c>
      <c r="D8">
        <f t="shared" si="1"/>
        <v>0.4375</v>
      </c>
      <c r="E8">
        <f t="shared" si="2"/>
        <v>2.2857142857142856</v>
      </c>
      <c r="G8">
        <v>50</v>
      </c>
      <c r="H8">
        <f t="shared" si="0"/>
        <v>230.63188463671861</v>
      </c>
    </row>
    <row r="9" spans="1:8" x14ac:dyDescent="0.35">
      <c r="A9">
        <v>2017</v>
      </c>
      <c r="B9">
        <v>141</v>
      </c>
      <c r="C9">
        <v>8</v>
      </c>
      <c r="D9">
        <f t="shared" si="1"/>
        <v>0.5</v>
      </c>
      <c r="E9">
        <f t="shared" si="2"/>
        <v>2</v>
      </c>
      <c r="G9">
        <v>100</v>
      </c>
      <c r="H9">
        <f t="shared" si="0"/>
        <v>247.72315862255945</v>
      </c>
    </row>
    <row r="10" spans="1:8" x14ac:dyDescent="0.35">
      <c r="A10">
        <v>2018</v>
      </c>
      <c r="B10">
        <v>140</v>
      </c>
      <c r="C10">
        <v>9</v>
      </c>
      <c r="D10">
        <f t="shared" si="1"/>
        <v>0.5625</v>
      </c>
      <c r="E10">
        <f t="shared" si="2"/>
        <v>1.7777777777777777</v>
      </c>
    </row>
    <row r="11" spans="1:8" x14ac:dyDescent="0.35">
      <c r="A11">
        <v>2019</v>
      </c>
      <c r="B11">
        <v>137.9</v>
      </c>
      <c r="C11">
        <v>10</v>
      </c>
      <c r="D11">
        <f t="shared" si="1"/>
        <v>0.625</v>
      </c>
      <c r="E11">
        <f t="shared" si="2"/>
        <v>1.6</v>
      </c>
    </row>
    <row r="12" spans="1:8" x14ac:dyDescent="0.35">
      <c r="A12">
        <v>2020</v>
      </c>
      <c r="B12">
        <v>122.9</v>
      </c>
      <c r="C12">
        <v>11</v>
      </c>
      <c r="D12">
        <f t="shared" si="1"/>
        <v>0.6875</v>
      </c>
      <c r="E12">
        <f t="shared" si="2"/>
        <v>1.4545454545454546</v>
      </c>
    </row>
    <row r="13" spans="1:8" x14ac:dyDescent="0.35">
      <c r="A13">
        <v>2021</v>
      </c>
      <c r="B13">
        <v>122</v>
      </c>
      <c r="C13">
        <v>12</v>
      </c>
      <c r="D13">
        <f t="shared" si="1"/>
        <v>0.75</v>
      </c>
      <c r="E13">
        <f t="shared" si="2"/>
        <v>1.3333333333333333</v>
      </c>
    </row>
    <row r="14" spans="1:8" x14ac:dyDescent="0.35">
      <c r="A14">
        <v>2022</v>
      </c>
      <c r="B14">
        <v>120.8</v>
      </c>
      <c r="C14">
        <v>13</v>
      </c>
      <c r="D14">
        <f t="shared" si="1"/>
        <v>0.8125</v>
      </c>
      <c r="E14">
        <f t="shared" si="2"/>
        <v>1.2307692307692308</v>
      </c>
    </row>
    <row r="15" spans="1:8" x14ac:dyDescent="0.35">
      <c r="A15">
        <v>2023</v>
      </c>
      <c r="B15">
        <v>120.3</v>
      </c>
      <c r="C15">
        <v>14</v>
      </c>
      <c r="D15">
        <f t="shared" si="1"/>
        <v>0.875</v>
      </c>
      <c r="E15">
        <f t="shared" si="2"/>
        <v>1.1428571428571428</v>
      </c>
    </row>
    <row r="16" spans="1:8" x14ac:dyDescent="0.35">
      <c r="A16">
        <v>2024</v>
      </c>
      <c r="B16">
        <v>107</v>
      </c>
      <c r="C16">
        <v>15</v>
      </c>
      <c r="D16">
        <f t="shared" si="1"/>
        <v>0.9375</v>
      </c>
      <c r="E16">
        <f t="shared" si="2"/>
        <v>1.0666666666666667</v>
      </c>
    </row>
    <row r="19" spans="1:9" x14ac:dyDescent="0.35">
      <c r="A19" s="1" t="s">
        <v>5</v>
      </c>
      <c r="B19">
        <f>AVERAGE(B2:B16)</f>
        <v>149.24666666666664</v>
      </c>
    </row>
    <row r="20" spans="1:9" x14ac:dyDescent="0.35">
      <c r="A20" s="1" t="s">
        <v>6</v>
      </c>
      <c r="B20">
        <f>_xlfn.STDEV.S(B2:B16)</f>
        <v>31.395128527179107</v>
      </c>
    </row>
    <row r="23" spans="1:9" x14ac:dyDescent="0.35">
      <c r="C23" s="1" t="s">
        <v>7</v>
      </c>
      <c r="D23">
        <f>B20*SQRT(6)/PI()</f>
        <v>24.478681286961681</v>
      </c>
    </row>
    <row r="24" spans="1:9" x14ac:dyDescent="0.35">
      <c r="C24" s="1" t="s">
        <v>8</v>
      </c>
      <c r="D24">
        <f>B19 - 0.5772*D23</f>
        <v>135.11757182783236</v>
      </c>
    </row>
    <row r="26" spans="1:9" x14ac:dyDescent="0.35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35">
      <c r="A27">
        <v>5</v>
      </c>
      <c r="B27">
        <f>H$2 / (A27 / 60)</f>
        <v>1729.0718975796533</v>
      </c>
      <c r="C27">
        <f>H$3 / (A27 / 60)</f>
        <v>2062.0094965594571</v>
      </c>
      <c r="D27">
        <f>H$4 / (A27 / 60)</f>
        <v>2282.443156940466</v>
      </c>
      <c r="E27">
        <f>H$5 / (A27 / 60)</f>
        <v>2406.8099653936306</v>
      </c>
      <c r="F27">
        <f>H$6 / (A27 / 60)</f>
        <v>2493.8884162701993</v>
      </c>
      <c r="G27">
        <f>H$7 / (A27 / 60)</f>
        <v>2560.9616711901758</v>
      </c>
      <c r="H27">
        <f>H$8 / (A27 / 60)</f>
        <v>2767.5826156406233</v>
      </c>
      <c r="I27">
        <f>H$9 / (A27 / 60)</f>
        <v>2972.6779034707138</v>
      </c>
    </row>
    <row r="28" spans="1:9" x14ac:dyDescent="0.35">
      <c r="A28">
        <v>10</v>
      </c>
      <c r="B28">
        <f t="shared" ref="B28:B31" si="3">H$2 / (A28 / 60)</f>
        <v>864.53594878982665</v>
      </c>
      <c r="C28">
        <f t="shared" ref="C28:C31" si="4">H$3 / (A28 / 60)</f>
        <v>1031.0047482797286</v>
      </c>
      <c r="D28">
        <f t="shared" ref="D28:D31" si="5">H$4 / (A28 / 60)</f>
        <v>1141.221578470233</v>
      </c>
      <c r="E28">
        <f t="shared" ref="E28:E31" si="6">H$5 / (A28 / 60)</f>
        <v>1203.4049826968153</v>
      </c>
      <c r="F28">
        <f t="shared" ref="F28:F31" si="7">H$6 / (A28 / 60)</f>
        <v>1246.9442081350996</v>
      </c>
      <c r="G28">
        <f t="shared" ref="G28:G31" si="8">H$7 / (A28 / 60)</f>
        <v>1280.4808355950879</v>
      </c>
      <c r="H28">
        <f t="shared" ref="H28:H31" si="9">H$8 / (A28 / 60)</f>
        <v>1383.7913078203117</v>
      </c>
      <c r="I28">
        <f t="shared" ref="I28:I31" si="10">H$9 / (A28 / 60)</f>
        <v>1486.3389517353569</v>
      </c>
    </row>
    <row r="29" spans="1:9" x14ac:dyDescent="0.35">
      <c r="A29">
        <v>30</v>
      </c>
      <c r="B29">
        <f t="shared" si="3"/>
        <v>288.17864959660886</v>
      </c>
      <c r="C29">
        <f t="shared" si="4"/>
        <v>343.66824942657615</v>
      </c>
      <c r="D29">
        <f t="shared" si="5"/>
        <v>380.40719282341098</v>
      </c>
      <c r="E29">
        <f t="shared" si="6"/>
        <v>401.13499423227171</v>
      </c>
      <c r="F29">
        <f t="shared" si="7"/>
        <v>415.64806937836653</v>
      </c>
      <c r="G29">
        <f t="shared" si="8"/>
        <v>426.82694519836264</v>
      </c>
      <c r="H29">
        <f t="shared" si="9"/>
        <v>461.26376927343722</v>
      </c>
      <c r="I29">
        <f t="shared" si="10"/>
        <v>495.44631724511891</v>
      </c>
    </row>
    <row r="30" spans="1:9" x14ac:dyDescent="0.35">
      <c r="A30">
        <v>60</v>
      </c>
      <c r="B30">
        <f t="shared" si="3"/>
        <v>144.08932479830443</v>
      </c>
      <c r="C30">
        <f t="shared" si="4"/>
        <v>171.83412471328808</v>
      </c>
      <c r="D30">
        <f t="shared" si="5"/>
        <v>190.20359641170549</v>
      </c>
      <c r="E30">
        <f t="shared" si="6"/>
        <v>200.56749711613585</v>
      </c>
      <c r="F30">
        <f t="shared" si="7"/>
        <v>207.82403468918326</v>
      </c>
      <c r="G30">
        <f t="shared" si="8"/>
        <v>213.41347259918132</v>
      </c>
      <c r="H30">
        <f t="shared" si="9"/>
        <v>230.63188463671861</v>
      </c>
      <c r="I30">
        <f t="shared" si="10"/>
        <v>247.72315862255945</v>
      </c>
    </row>
    <row r="31" spans="1:9" x14ac:dyDescent="0.35">
      <c r="A31">
        <v>120</v>
      </c>
      <c r="B31">
        <f t="shared" si="3"/>
        <v>72.044662399152216</v>
      </c>
      <c r="C31">
        <f t="shared" si="4"/>
        <v>85.917062356644038</v>
      </c>
      <c r="D31">
        <f t="shared" si="5"/>
        <v>95.101798205852745</v>
      </c>
      <c r="E31">
        <f t="shared" si="6"/>
        <v>100.28374855806793</v>
      </c>
      <c r="F31">
        <f t="shared" si="7"/>
        <v>103.91201734459163</v>
      </c>
      <c r="G31">
        <f t="shared" si="8"/>
        <v>106.70673629959066</v>
      </c>
      <c r="H31">
        <f t="shared" si="9"/>
        <v>115.3159423183593</v>
      </c>
      <c r="I31">
        <f t="shared" si="10"/>
        <v>123.86157931127973</v>
      </c>
    </row>
  </sheetData>
  <sortState xmlns:xlrd2="http://schemas.microsoft.com/office/spreadsheetml/2017/richdata2" ref="B2:C16">
    <sortCondition descending="1"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Rifaat Dzaki Makarim</dc:creator>
  <cp:lastModifiedBy>Ahmad Rifaat Dzaki Makarim</cp:lastModifiedBy>
  <dcterms:created xsi:type="dcterms:W3CDTF">2025-07-23T03:11:18Z</dcterms:created>
  <dcterms:modified xsi:type="dcterms:W3CDTF">2025-07-23T08:01:41Z</dcterms:modified>
</cp:coreProperties>
</file>